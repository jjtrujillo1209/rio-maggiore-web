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glose Inversión" sheetId="1" state="visible" r:id="rId1"/>
    <sheet xmlns:r="http://schemas.openxmlformats.org/officeDocument/2006/relationships" name="Calendario Desembolsos" sheetId="2" state="visible" r:id="rId2"/>
    <sheet xmlns:r="http://schemas.openxmlformats.org/officeDocument/2006/relationships" name="Timeline Histórico" sheetId="3" state="visible" r:id="rId3"/>
    <sheet xmlns:r="http://schemas.openxmlformats.org/officeDocument/2006/relationships" name="Proveedores Chinos" sheetId="4" state="visible" r:id="rId4"/>
    <sheet xmlns:r="http://schemas.openxmlformats.org/officeDocument/2006/relationships" name="Análisis Sensibilida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&quot;%&quot;"/>
    <numFmt numFmtId="166" formatCode="0.0"/>
  </numFmts>
  <fonts count="7">
    <font>
      <name val="Calibri"/>
      <family val="2"/>
      <color theme="1"/>
      <sz val="11"/>
      <scheme val="minor"/>
    </font>
    <font>
      <b val="1"/>
      <color rgb="001B5E9D"/>
      <sz val="12"/>
    </font>
    <font>
      <b val="1"/>
      <color rgb="00FFFFFF"/>
      <sz val="11"/>
    </font>
    <font>
      <b val="1"/>
    </font>
    <font>
      <b val="1"/>
      <sz val="10"/>
    </font>
    <font>
      <color rgb="00000000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E8F0F7"/>
        <bgColor rgb="00E8F0F7"/>
      </patternFill>
    </fill>
    <fill>
      <patternFill patternType="solid">
        <fgColor rgb="00FFFFCC"/>
        <bgColor rgb="00FFFFCC"/>
      </patternFill>
    </fill>
    <fill>
      <patternFill patternType="solid">
        <fgColor rgb="00D9E8F5"/>
        <bgColor rgb="00D9E8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3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3" fontId="5" fillId="4" borderId="0" pivotButton="0" quotePrefix="0" xfId="0"/>
    <xf numFmtId="0" fontId="2" fillId="2" borderId="0" pivotButton="0" quotePrefix="0" xfId="0"/>
    <xf numFmtId="3" fontId="6" fillId="2" borderId="0" pivotButton="0" quotePrefix="0" xfId="0"/>
    <xf numFmtId="164" fontId="0" fillId="0" borderId="1" pivotButton="0" quotePrefix="0" xfId="0"/>
    <xf numFmtId="3" fontId="3" fillId="3" borderId="0" pivotButton="0" quotePrefix="0" xfId="0"/>
    <xf numFmtId="0" fontId="2" fillId="2" borderId="1" applyAlignment="1" pivotButton="0" quotePrefix="0" xfId="0">
      <alignment wrapText="1"/>
    </xf>
    <xf numFmtId="0" fontId="4" fillId="5" borderId="0" pivotButton="0" quotePrefix="0" xfId="0"/>
    <xf numFmtId="165" fontId="0" fillId="0" borderId="1" pivotButton="0" quotePrefix="0" xfId="0"/>
    <xf numFmtId="166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20" customWidth="1" min="3" max="3"/>
    <col width="18" customWidth="1" min="4" max="4"/>
  </cols>
  <sheetData>
    <row r="1">
      <c r="A1" s="1" t="inlineStr">
        <is>
          <t>INVERSIÓN INICIAL - PARQUE ACUÁTICO INFLABLE ARMENIA</t>
        </is>
      </c>
    </row>
    <row r="3">
      <c r="A3" s="2" t="inlineStr">
        <is>
          <t>Concepto</t>
        </is>
      </c>
      <c r="B3" s="2" t="inlineStr">
        <is>
          <t>Cantidad</t>
        </is>
      </c>
      <c r="C3" s="2" t="inlineStr">
        <is>
          <t>Costo Unitario (USD)</t>
        </is>
      </c>
      <c r="D3" s="2" t="inlineStr">
        <is>
          <t>Total (USD)</t>
        </is>
      </c>
    </row>
    <row r="4">
      <c r="A4" s="3" t="inlineStr">
        <is>
          <t>Parque inflable 23 módulos</t>
        </is>
      </c>
      <c r="B4" s="4" t="n">
        <v>1</v>
      </c>
      <c r="C4" s="4" t="n">
        <v>200000</v>
      </c>
      <c r="D4" s="4">
        <f>B4*C4</f>
        <v/>
      </c>
    </row>
    <row r="5">
      <c r="A5" s="3" t="inlineStr">
        <is>
          <t>Sistema bombeo agua</t>
        </is>
      </c>
      <c r="B5" s="4" t="n">
        <v>1</v>
      </c>
      <c r="C5" s="4" t="n">
        <v>35000</v>
      </c>
      <c r="D5" s="4">
        <f>B5*C5</f>
        <v/>
      </c>
    </row>
    <row r="6">
      <c r="A6" s="3" t="inlineStr">
        <is>
          <t>Filtración/cloración</t>
        </is>
      </c>
      <c r="B6" s="4" t="n">
        <v>1</v>
      </c>
      <c r="C6" s="4" t="n">
        <v>25000</v>
      </c>
      <c r="D6" s="4">
        <f>B6*C6</f>
        <v/>
      </c>
    </row>
    <row r="7">
      <c r="A7" s="3" t="inlineStr">
        <is>
          <t>Infraestructura caseta</t>
        </is>
      </c>
      <c r="B7" s="4" t="n">
        <v>1</v>
      </c>
      <c r="C7" s="4" t="n">
        <v>40000</v>
      </c>
      <c r="D7" s="4">
        <f>B7*C7</f>
        <v/>
      </c>
    </row>
    <row r="8">
      <c r="A8" s="3" t="inlineStr">
        <is>
          <t>Parqueo y vías</t>
        </is>
      </c>
      <c r="B8" s="4" t="n">
        <v>1</v>
      </c>
      <c r="C8" s="4" t="n">
        <v>30000</v>
      </c>
      <c r="D8" s="4">
        <f>B8*C8</f>
        <v/>
      </c>
    </row>
    <row r="9">
      <c r="A9" s="3" t="inlineStr">
        <is>
          <t>Servicios (agua/luz)</t>
        </is>
      </c>
      <c r="B9" s="4" t="n">
        <v>1</v>
      </c>
      <c r="C9" s="4" t="n">
        <v>20000</v>
      </c>
      <c r="D9" s="4">
        <f>B9*C9</f>
        <v/>
      </c>
    </row>
    <row r="10">
      <c r="A10" s="3" t="inlineStr">
        <is>
          <t>Equipamiento (muebles)</t>
        </is>
      </c>
      <c r="B10" s="4" t="n">
        <v>1</v>
      </c>
      <c r="C10" s="4" t="n">
        <v>15000</v>
      </c>
      <c r="D10" s="4">
        <f>B10*C10</f>
        <v/>
      </c>
    </row>
    <row r="11">
      <c r="A11" s="3" t="inlineStr">
        <is>
          <t>Permisos/licencias</t>
        </is>
      </c>
      <c r="B11" s="4" t="n">
        <v>1</v>
      </c>
      <c r="C11" s="4" t="n">
        <v>8000</v>
      </c>
      <c r="D11" s="4">
        <f>B11*C11</f>
        <v/>
      </c>
    </row>
    <row r="13">
      <c r="A13" s="5" t="inlineStr">
        <is>
          <t>Subtotal</t>
        </is>
      </c>
      <c r="D13" s="6">
        <f>SUM(D4:D11)</f>
        <v/>
      </c>
    </row>
    <row r="14">
      <c r="A14" s="7" t="inlineStr">
        <is>
          <t>Contingencia (10%)</t>
        </is>
      </c>
      <c r="D14" s="8">
        <f>D13*0.10</f>
        <v/>
      </c>
    </row>
    <row r="15">
      <c r="A15" s="9" t="inlineStr">
        <is>
          <t>TOTAL INVERSIÓN</t>
        </is>
      </c>
      <c r="D15" s="10">
        <f>D13+D14</f>
        <v/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25" customWidth="1" min="4" max="4"/>
    <col width="18" customWidth="1" min="5" max="5"/>
    <col width="12" customWidth="1" min="6" max="6"/>
  </cols>
  <sheetData>
    <row r="1">
      <c r="A1" s="1" t="inlineStr">
        <is>
          <t>CALENDARIO DE DESEMBOLSOS - IMPLEMENTACIÓN</t>
        </is>
      </c>
    </row>
    <row r="3">
      <c r="A3" s="2" t="inlineStr">
        <is>
          <t>Fase</t>
        </is>
      </c>
      <c r="B3" s="2" t="inlineStr">
        <is>
          <t>Mes Inicio</t>
        </is>
      </c>
      <c r="C3" s="2" t="inlineStr">
        <is>
          <t>Mes Fin</t>
        </is>
      </c>
      <c r="D3" s="2" t="inlineStr">
        <is>
          <t>Concepto</t>
        </is>
      </c>
      <c r="E3" s="2" t="inlineStr">
        <is>
          <t>Desembolso (USD)</t>
        </is>
      </c>
      <c r="F3" s="2" t="inlineStr">
        <is>
          <t>% del Total</t>
        </is>
      </c>
    </row>
    <row r="4">
      <c r="A4" s="3" t="inlineStr">
        <is>
          <t>Fase 1: Adquisición</t>
        </is>
      </c>
      <c r="B4" s="3" t="inlineStr">
        <is>
          <t>Mes 1</t>
        </is>
      </c>
      <c r="C4" s="3" t="inlineStr">
        <is>
          <t>Mes 2</t>
        </is>
      </c>
      <c r="D4" s="3" t="inlineStr">
        <is>
          <t>Permiso ambiental y terreno</t>
        </is>
      </c>
      <c r="E4" s="4" t="n">
        <v>25000</v>
      </c>
      <c r="F4" s="11">
        <f>E4/SUM($E$4:$E$9)</f>
        <v/>
      </c>
    </row>
    <row r="5">
      <c r="A5" s="3" t="inlineStr">
        <is>
          <t>Fase 1: Adquisición</t>
        </is>
      </c>
      <c r="B5" s="3" t="inlineStr">
        <is>
          <t>Mes 1</t>
        </is>
      </c>
      <c r="C5" s="3" t="inlineStr">
        <is>
          <t>Mes 2</t>
        </is>
      </c>
      <c r="D5" s="3" t="inlineStr">
        <is>
          <t>Diseño e ingeniería</t>
        </is>
      </c>
      <c r="E5" s="4" t="n">
        <v>15000</v>
      </c>
      <c r="F5" s="11">
        <f>E5/SUM($E$4:$E$9)</f>
        <v/>
      </c>
    </row>
    <row r="6">
      <c r="A6" s="3" t="inlineStr">
        <is>
          <t>Fase 2: Compras</t>
        </is>
      </c>
      <c r="B6" s="3" t="inlineStr">
        <is>
          <t>Mes 3</t>
        </is>
      </c>
      <c r="C6" s="3" t="inlineStr">
        <is>
          <t>Mes 4</t>
        </is>
      </c>
      <c r="D6" s="3" t="inlineStr">
        <is>
          <t>Equipamiento importado</t>
        </is>
      </c>
      <c r="E6" s="4" t="n">
        <v>250000</v>
      </c>
      <c r="F6" s="11">
        <f>E6/SUM($E$4:$E$9)</f>
        <v/>
      </c>
    </row>
    <row r="7">
      <c r="A7" s="3" t="inlineStr">
        <is>
          <t>Fase 3: Construcción</t>
        </is>
      </c>
      <c r="B7" s="3" t="inlineStr">
        <is>
          <t>Mes 5</t>
        </is>
      </c>
      <c r="C7" s="3" t="inlineStr">
        <is>
          <t>Mes 7</t>
        </is>
      </c>
      <c r="D7" s="3" t="inlineStr">
        <is>
          <t>Infraestructura</t>
        </is>
      </c>
      <c r="E7" s="4" t="n">
        <v>80000</v>
      </c>
      <c r="F7" s="11">
        <f>E7/SUM($E$4:$E$9)</f>
        <v/>
      </c>
    </row>
    <row r="8">
      <c r="A8" s="3" t="inlineStr">
        <is>
          <t>Fase 4: Instalación</t>
        </is>
      </c>
      <c r="B8" s="3" t="inlineStr">
        <is>
          <t>Mes 8</t>
        </is>
      </c>
      <c r="C8" s="3" t="inlineStr">
        <is>
          <t>Mes 9</t>
        </is>
      </c>
      <c r="D8" s="3" t="inlineStr">
        <is>
          <t>Montaje inflables</t>
        </is>
      </c>
      <c r="E8" s="4" t="n">
        <v>30000</v>
      </c>
      <c r="F8" s="11">
        <f>E8/SUM($E$4:$E$9)</f>
        <v/>
      </c>
    </row>
    <row r="9">
      <c r="A9" s="3" t="inlineStr">
        <is>
          <t>Fase 5: Operativo</t>
        </is>
      </c>
      <c r="B9" s="3" t="inlineStr">
        <is>
          <t>Mes 10</t>
        </is>
      </c>
      <c r="C9" s="3" t="inlineStr">
        <is>
          <t>Mes 10</t>
        </is>
      </c>
      <c r="D9" s="3" t="inlineStr">
        <is>
          <t>Capacitación + marketing</t>
        </is>
      </c>
      <c r="E9" s="4" t="n">
        <v>10300</v>
      </c>
      <c r="F9" s="11">
        <f>E9/SUM($E$4:$E$9)</f>
        <v/>
      </c>
    </row>
    <row r="10">
      <c r="D10" s="6" t="inlineStr">
        <is>
          <t>TOTAL</t>
        </is>
      </c>
      <c r="E10" s="12">
        <f>SUM(E4:E9)</f>
        <v/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20" customWidth="1" min="3" max="3"/>
    <col width="15" customWidth="1" min="4" max="4"/>
    <col width="22" customWidth="1" min="5" max="5"/>
  </cols>
  <sheetData>
    <row r="1">
      <c r="A1" s="1" t="inlineStr">
        <is>
          <t>TIMELINE DE IMPLEMENTACIÓN Y HITOS</t>
        </is>
      </c>
    </row>
    <row r="3">
      <c r="A3" s="2" t="inlineStr">
        <is>
          <t>Mes</t>
        </is>
      </c>
      <c r="B3" s="2" t="inlineStr">
        <is>
          <t>Actividad</t>
        </is>
      </c>
      <c r="C3" s="2" t="inlineStr">
        <is>
          <t>Responsable</t>
        </is>
      </c>
      <c r="D3" s="2" t="inlineStr">
        <is>
          <t>Inversión ($)</t>
        </is>
      </c>
      <c r="E3" s="2" t="inlineStr">
        <is>
          <t>Hito Clave</t>
        </is>
      </c>
    </row>
    <row r="4">
      <c r="A4" s="3" t="n">
        <v>1</v>
      </c>
      <c r="B4" s="3" t="inlineStr">
        <is>
          <t>Selección terreno, solicitud permisos</t>
        </is>
      </c>
      <c r="C4" s="3" t="inlineStr">
        <is>
          <t>Dueño + Asesor legal</t>
        </is>
      </c>
      <c r="D4" s="4" t="n">
        <v>15000</v>
      </c>
      <c r="E4" s="3" t="inlineStr">
        <is>
          <t>Terreno confirmado</t>
        </is>
      </c>
    </row>
    <row r="5">
      <c r="A5" s="3" t="n">
        <v>2</v>
      </c>
      <c r="B5" s="3" t="inlineStr">
        <is>
          <t>Aprobación ambiental, cotizaciones</t>
        </is>
      </c>
      <c r="C5" s="3" t="inlineStr">
        <is>
          <t>Gerente proyecto</t>
        </is>
      </c>
      <c r="D5" s="4" t="n">
        <v>10000</v>
      </c>
      <c r="E5" s="3" t="inlineStr">
        <is>
          <t>Permisos obtenidos</t>
        </is>
      </c>
    </row>
    <row r="6">
      <c r="A6" s="3" t="n">
        <v>3</v>
      </c>
      <c r="B6" s="3" t="inlineStr">
        <is>
          <t>RFQ proveedores chinos, financiación</t>
        </is>
      </c>
      <c r="C6" s="3" t="inlineStr">
        <is>
          <t>Procure. + CFO</t>
        </is>
      </c>
      <c r="D6" s="3" t="inlineStr">
        <is>
          <t>-</t>
        </is>
      </c>
      <c r="E6" s="3" t="inlineStr">
        <is>
          <t>Financiación asegurada</t>
        </is>
      </c>
    </row>
    <row r="7">
      <c r="A7" s="3" t="n">
        <v>4</v>
      </c>
      <c r="B7" s="3" t="inlineStr">
        <is>
          <t>Orden de compra, producción inicio</t>
        </is>
      </c>
      <c r="C7" s="3" t="inlineStr">
        <is>
          <t>Comprador</t>
        </is>
      </c>
      <c r="D7" s="4" t="n">
        <v>250000</v>
      </c>
      <c r="E7" s="3" t="inlineStr">
        <is>
          <t>PO firmada</t>
        </is>
      </c>
    </row>
    <row r="8">
      <c r="A8" s="3" t="n">
        <v>5</v>
      </c>
      <c r="B8" s="3" t="inlineStr">
        <is>
          <t>Preparación terreno, obras civiles</t>
        </is>
      </c>
      <c r="C8" s="3" t="inlineStr">
        <is>
          <t>Contratista</t>
        </is>
      </c>
      <c r="D8" s="4" t="n">
        <v>30000</v>
      </c>
      <c r="E8" s="3" t="inlineStr">
        <is>
          <t>Excavación completa</t>
        </is>
      </c>
    </row>
    <row r="9">
      <c r="A9" s="3" t="n">
        <v>6</v>
      </c>
      <c r="B9" s="3" t="inlineStr">
        <is>
          <t>Obras continúan</t>
        </is>
      </c>
      <c r="C9" s="3" t="inlineStr">
        <is>
          <t>Contratista</t>
        </is>
      </c>
      <c r="D9" s="4" t="n">
        <v>30000</v>
      </c>
      <c r="E9" s="3" t="inlineStr">
        <is>
          <t>50% obra civil</t>
        </is>
      </c>
    </row>
    <row r="10">
      <c r="A10" s="3" t="n">
        <v>7</v>
      </c>
      <c r="B10" s="3" t="inlineStr">
        <is>
          <t>Recepción equipamiento, instalación</t>
        </is>
      </c>
      <c r="C10" s="3" t="inlineStr">
        <is>
          <t>Ingeniero</t>
        </is>
      </c>
      <c r="D10" s="4" t="n">
        <v>20000</v>
      </c>
      <c r="E10" s="3" t="inlineStr">
        <is>
          <t>Equipos en sitio</t>
        </is>
      </c>
    </row>
    <row r="11">
      <c r="A11" s="3" t="n">
        <v>8</v>
      </c>
      <c r="B11" s="3" t="inlineStr">
        <is>
          <t>Montaje inflables, pruebas</t>
        </is>
      </c>
      <c r="C11" s="3" t="inlineStr">
        <is>
          <t>Técnicos</t>
        </is>
      </c>
      <c r="D11" s="4" t="n">
        <v>10000</v>
      </c>
      <c r="E11" s="3" t="inlineStr">
        <is>
          <t>Sistema funcional</t>
        </is>
      </c>
    </row>
    <row r="12">
      <c r="A12" s="3" t="n">
        <v>9</v>
      </c>
      <c r="B12" s="3" t="inlineStr">
        <is>
          <t>Capacitación personal, test operativo</t>
        </is>
      </c>
      <c r="C12" s="3" t="inlineStr">
        <is>
          <t>Gerente operaciones</t>
        </is>
      </c>
      <c r="D12" s="3" t="inlineStr">
        <is>
          <t>-</t>
        </is>
      </c>
      <c r="E12" s="3" t="inlineStr">
        <is>
          <t>Personal entrenado</t>
        </is>
      </c>
    </row>
    <row r="13">
      <c r="A13" s="3" t="n">
        <v>10</v>
      </c>
      <c r="B13" s="3" t="inlineStr">
        <is>
          <t>Apertura comercial</t>
        </is>
      </c>
      <c r="C13" s="3" t="inlineStr">
        <is>
          <t>Gerente general</t>
        </is>
      </c>
      <c r="D13" s="4" t="n">
        <v>10300</v>
      </c>
      <c r="E13" s="3" t="inlineStr">
        <is>
          <t>🎉 OPERATIVO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5" customWidth="1" min="3" max="3"/>
    <col width="15" customWidth="1" min="4" max="4"/>
    <col width="12" customWidth="1" min="5" max="5"/>
    <col width="10" customWidth="1" min="6" max="6"/>
    <col width="15" customWidth="1" min="7" max="7"/>
    <col width="22" customWidth="1" min="8" max="8"/>
  </cols>
  <sheetData>
    <row r="1">
      <c r="A1" s="1" t="inlineStr">
        <is>
          <t>ANÁLISIS PROVEEDORES - ALIANZA CHINA</t>
        </is>
      </c>
    </row>
    <row r="3">
      <c r="A3" s="13" t="inlineStr">
        <is>
          <t>Proveedor</t>
        </is>
      </c>
      <c r="B3" s="13" t="inlineStr">
        <is>
          <t>Componente</t>
        </is>
      </c>
      <c r="C3" s="13" t="inlineStr">
        <is>
          <t>Precio China (USD)</t>
        </is>
      </c>
      <c r="D3" s="13" t="inlineStr">
        <is>
          <t>Precio Europa (USD)</t>
        </is>
      </c>
      <c r="E3" s="13" t="inlineStr">
        <is>
          <t>Ahorro (USD)</t>
        </is>
      </c>
      <c r="F3" s="13" t="inlineStr">
        <is>
          <t>% Ahorro</t>
        </is>
      </c>
      <c r="G3" s="13" t="inlineStr">
        <is>
          <t>Lead Time (días)</t>
        </is>
      </c>
      <c r="H3" s="13" t="inlineStr">
        <is>
          <t>Términos</t>
        </is>
      </c>
    </row>
    <row r="4">
      <c r="A4" s="3" t="inlineStr">
        <is>
          <t>Alibaba Supplier #1</t>
        </is>
      </c>
      <c r="B4" s="3" t="inlineStr">
        <is>
          <t>Parque 23 módulos</t>
        </is>
      </c>
      <c r="C4" s="4" t="n">
        <v>155000</v>
      </c>
      <c r="D4" s="4" t="n">
        <v>200000</v>
      </c>
      <c r="E4" s="4">
        <f>C4-D4</f>
        <v/>
      </c>
      <c r="F4" s="11">
        <f>(C4-D4)/D4</f>
        <v/>
      </c>
      <c r="G4" s="3" t="n">
        <v>45</v>
      </c>
      <c r="H4" s="3" t="inlineStr">
        <is>
          <t>30% adelanto, 70% a entrega</t>
        </is>
      </c>
    </row>
    <row r="5">
      <c r="A5" s="3" t="inlineStr">
        <is>
          <t>Alibaba Supplier #2</t>
        </is>
      </c>
      <c r="B5" s="3" t="inlineStr">
        <is>
          <t>Parque 23 módulos</t>
        </is>
      </c>
      <c r="C5" s="4" t="n">
        <v>162000</v>
      </c>
      <c r="D5" s="4" t="n">
        <v>200000</v>
      </c>
      <c r="E5" s="4">
        <f>C5-D5</f>
        <v/>
      </c>
      <c r="F5" s="11">
        <f>(C5-D5)/D5</f>
        <v/>
      </c>
      <c r="G5" s="3" t="n">
        <v>45</v>
      </c>
      <c r="H5" s="3" t="inlineStr">
        <is>
          <t>30% adelanto, 70% a entrega</t>
        </is>
      </c>
    </row>
    <row r="6">
      <c r="A6" s="3" t="inlineStr">
        <is>
          <t>MAYGO Pool Tech</t>
        </is>
      </c>
      <c r="B6" s="3" t="inlineStr">
        <is>
          <t>Filtración</t>
        </is>
      </c>
      <c r="C6" s="4" t="n">
        <v>12000</v>
      </c>
      <c r="D6" s="4" t="n">
        <v>25000</v>
      </c>
      <c r="E6" s="4">
        <f>C6-D6</f>
        <v/>
      </c>
      <c r="F6" s="11">
        <f>(C6-D6)/D6</f>
        <v/>
      </c>
      <c r="G6" s="3" t="n">
        <v>45</v>
      </c>
      <c r="H6" s="3" t="inlineStr">
        <is>
          <t>30% adelanto, 70% a entrega</t>
        </is>
      </c>
    </row>
    <row r="7">
      <c r="A7" s="3" t="inlineStr">
        <is>
          <t>Chino Gen. (Alibaba)</t>
        </is>
      </c>
      <c r="B7" s="3" t="inlineStr">
        <is>
          <t>Bombeo</t>
        </is>
      </c>
      <c r="C7" s="4" t="n">
        <v>18000</v>
      </c>
      <c r="D7" s="4" t="n">
        <v>35000</v>
      </c>
      <c r="E7" s="4">
        <f>C7-D7</f>
        <v/>
      </c>
      <c r="F7" s="11">
        <f>(C7-D7)/D7</f>
        <v/>
      </c>
      <c r="G7" s="3" t="n">
        <v>45</v>
      </c>
      <c r="H7" s="3" t="inlineStr">
        <is>
          <t>30% adelanto, 70% a entrega</t>
        </is>
      </c>
    </row>
    <row r="8">
      <c r="A8" s="14" t="inlineStr">
        <is>
          <t>RECOMENDACIÓN</t>
        </is>
      </c>
      <c r="B8" s="14" t="inlineStr">
        <is>
          <t>Proveedor seleccionado (mejor relación precio-plazo): Alibaba Supplier #1</t>
        </is>
      </c>
    </row>
  </sheetData>
  <mergeCells count="2">
    <mergeCell ref="B8:H8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20" customWidth="1" min="3" max="3"/>
    <col width="20" customWidth="1" min="4" max="4"/>
    <col width="12" customWidth="1" min="5" max="5"/>
    <col width="15" customWidth="1" min="6" max="6"/>
  </cols>
  <sheetData>
    <row r="1">
      <c r="A1" s="1" t="inlineStr">
        <is>
          <t>ANÁLISIS DE SENSIBILIDAD - OCUPACIÓN vs TIR</t>
        </is>
      </c>
    </row>
    <row r="3">
      <c r="A3" s="2" t="inlineStr">
        <is>
          <t>Ocupación (%)</t>
        </is>
      </c>
      <c r="B3" s="2" t="inlineStr">
        <is>
          <t>Visitantes/año</t>
        </is>
      </c>
      <c r="C3" s="2" t="inlineStr">
        <is>
          <t>Ingresos Brutos (USD)</t>
        </is>
      </c>
      <c r="D3" s="2" t="inlineStr">
        <is>
          <t>EBITDA 5-años (USD)</t>
        </is>
      </c>
      <c r="E3" s="2" t="inlineStr">
        <is>
          <t>TIR</t>
        </is>
      </c>
      <c r="F3" s="2" t="inlineStr">
        <is>
          <t>Payback (años)</t>
        </is>
      </c>
    </row>
    <row r="4">
      <c r="A4" s="15" t="n">
        <v>35</v>
      </c>
      <c r="B4" s="4">
        <f>A4*45000</f>
        <v/>
      </c>
      <c r="C4" s="4">
        <f>B4*55000/4200</f>
        <v/>
      </c>
      <c r="D4" s="4">
        <f>(C4-107400)*5*0.7</f>
        <v/>
      </c>
      <c r="E4" s="11">
        <f>IF(D4&gt;0, ((D4/410300)^(1/5))-1, -0.2)</f>
        <v/>
      </c>
      <c r="F4" s="16">
        <f>IF(D4&gt;0, 410300/(D4/5), "N/A")</f>
        <v/>
      </c>
    </row>
    <row r="5">
      <c r="A5" s="15" t="n">
        <v>45</v>
      </c>
      <c r="B5" s="4">
        <f>A5*45000</f>
        <v/>
      </c>
      <c r="C5" s="4">
        <f>B5*55000/4200</f>
        <v/>
      </c>
      <c r="D5" s="4">
        <f>(C5-107400)*5*0.7</f>
        <v/>
      </c>
      <c r="E5" s="11">
        <f>IF(D5&gt;0, ((D5/410300)^(1/5))-1, -0.2)</f>
        <v/>
      </c>
      <c r="F5" s="16">
        <f>IF(D5&gt;0, 410300/(D5/5), "N/A")</f>
        <v/>
      </c>
    </row>
    <row r="6">
      <c r="A6" s="15" t="n">
        <v>55</v>
      </c>
      <c r="B6" s="4">
        <f>A6*45000</f>
        <v/>
      </c>
      <c r="C6" s="4">
        <f>B6*55000/4200</f>
        <v/>
      </c>
      <c r="D6" s="4">
        <f>(C6-107400)*5*0.7</f>
        <v/>
      </c>
      <c r="E6" s="11">
        <f>IF(D6&gt;0, ((D6/410300)^(1/5))-1, -0.2)</f>
        <v/>
      </c>
      <c r="F6" s="16">
        <f>IF(D6&gt;0, 410300/(D6/5), "N/A")</f>
        <v/>
      </c>
    </row>
    <row r="7">
      <c r="A7" s="15" t="n">
        <v>65</v>
      </c>
      <c r="B7" s="4">
        <f>A7*45000</f>
        <v/>
      </c>
      <c r="C7" s="4">
        <f>B7*55000/4200</f>
        <v/>
      </c>
      <c r="D7" s="4">
        <f>(C7-107400)*5*0.7</f>
        <v/>
      </c>
      <c r="E7" s="11">
        <f>IF(D7&gt;0, ((D7/410300)^(1/5))-1, -0.2)</f>
        <v/>
      </c>
      <c r="F7" s="16">
        <f>IF(D7&gt;0, 410300/(D7/5), "N/A")</f>
        <v/>
      </c>
    </row>
    <row r="8">
      <c r="A8" s="15" t="n">
        <v>75</v>
      </c>
      <c r="B8" s="4">
        <f>A8*45000</f>
        <v/>
      </c>
      <c r="C8" s="4">
        <f>B8*55000/4200</f>
        <v/>
      </c>
      <c r="D8" s="4">
        <f>(C8-107400)*5*0.7</f>
        <v/>
      </c>
      <c r="E8" s="11">
        <f>IF(D8&gt;0, ((D8/410300)^(1/5))-1, -0.2)</f>
        <v/>
      </c>
      <c r="F8" s="16">
        <f>IF(D8&gt;0, 410300/(D8/5), "N/A")</f>
        <v/>
      </c>
    </row>
    <row r="9">
      <c r="A9" s="15" t="n">
        <v>85</v>
      </c>
      <c r="B9" s="4">
        <f>A9*45000</f>
        <v/>
      </c>
      <c r="C9" s="4">
        <f>B9*55000/4200</f>
        <v/>
      </c>
      <c r="D9" s="4">
        <f>(C9-107400)*5*0.7</f>
        <v/>
      </c>
      <c r="E9" s="11">
        <f>IF(D9&gt;0, ((D9/410300)^(1/5))-1, -0.2)</f>
        <v/>
      </c>
      <c r="F9" s="16">
        <f>IF(D9&gt;0, 410300/(D9/5), "N/A")</f>
        <v/>
      </c>
    </row>
    <row r="11">
      <c r="A11" s="6" t="inlineStr">
        <is>
          <t>CONCLUSIÓN</t>
        </is>
      </c>
      <c r="B11" s="6" t="inlineStr">
        <is>
          <t>Punto de equilibrio: ~55% ocupación. Escenario base (70%) es realista y viable.</t>
        </is>
      </c>
    </row>
  </sheetData>
  <mergeCells count="2">
    <mergeCell ref="A1:F1"/>
    <mergeCell ref="B11:F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2026-04-11T21:55:39Z</dcterms:created>
  <dcterms:modified xmlns:dcterms="http://purl.org/dc/terms/" xmlns:xsi="http://www.w3.org/2001/XMLSchema-instance" xsi:type="dcterms:W3CDTF">2026-04-11T21:55:39Z</dcterms:modified>
</cp:coreProperties>
</file>